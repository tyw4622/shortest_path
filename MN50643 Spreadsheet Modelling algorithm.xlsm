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bookViews>
    <workbookView xWindow="0" yWindow="0" windowWidth="20490" windowHeight="7350"/>
  </bookViews>
  <sheets>
    <sheet name="Result" sheetId="7" r:id="rId1"/>
    <sheet name="Connection" sheetId="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1" i="1" l="1"/>
  <c r="D22" i="1"/>
  <c r="D21" i="1"/>
  <c r="D20" i="1"/>
  <c r="D19" i="1"/>
  <c r="D18" i="1"/>
  <c r="D17" i="1"/>
  <c r="D16" i="1"/>
  <c r="D15" i="1"/>
  <c r="D13" i="1"/>
  <c r="D14" i="1"/>
  <c r="U3" i="1" l="1"/>
  <c r="U4" i="1"/>
  <c r="U5" i="1"/>
  <c r="U6" i="1"/>
  <c r="U7" i="1"/>
  <c r="U8" i="1"/>
  <c r="U9" i="1"/>
  <c r="U10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2" i="1"/>
</calcChain>
</file>

<file path=xl/sharedStrings.xml><?xml version="1.0" encoding="utf-8"?>
<sst xmlns="http://schemas.openxmlformats.org/spreadsheetml/2006/main" count="146" uniqueCount="56">
  <si>
    <t>A</t>
  </si>
  <si>
    <t>B</t>
  </si>
  <si>
    <t>C</t>
  </si>
  <si>
    <t>D</t>
  </si>
  <si>
    <t>E</t>
  </si>
  <si>
    <t>line2</t>
  </si>
  <si>
    <t>line3</t>
  </si>
  <si>
    <t>A11</t>
  </si>
  <si>
    <t>C11</t>
  </si>
  <si>
    <t>C12</t>
  </si>
  <si>
    <t>C13</t>
  </si>
  <si>
    <t>A12</t>
  </si>
  <si>
    <t>A13</t>
  </si>
  <si>
    <t>E21</t>
  </si>
  <si>
    <t>E22</t>
  </si>
  <si>
    <t>E23</t>
  </si>
  <si>
    <t>D21</t>
  </si>
  <si>
    <t>D22</t>
  </si>
  <si>
    <t>D23</t>
  </si>
  <si>
    <t>B21</t>
  </si>
  <si>
    <t>B22</t>
  </si>
  <si>
    <t>B23</t>
  </si>
  <si>
    <t>C31</t>
  </si>
  <si>
    <t>C32</t>
  </si>
  <si>
    <t>C33</t>
  </si>
  <si>
    <t>B31</t>
  </si>
  <si>
    <t>B32</t>
  </si>
  <si>
    <t>B33</t>
  </si>
  <si>
    <t>A31</t>
  </si>
  <si>
    <t>A32</t>
  </si>
  <si>
    <t>A33</t>
  </si>
  <si>
    <t>E11</t>
  </si>
  <si>
    <t>E12</t>
  </si>
  <si>
    <t>E13</t>
  </si>
  <si>
    <t xml:space="preserve">From </t>
  </si>
  <si>
    <t>To</t>
  </si>
  <si>
    <t>Line</t>
  </si>
  <si>
    <t>From_line</t>
  </si>
  <si>
    <t>From_time</t>
  </si>
  <si>
    <t>To_line</t>
  </si>
  <si>
    <t>To_time</t>
  </si>
  <si>
    <t>From_index</t>
  </si>
  <si>
    <t>To_index</t>
  </si>
  <si>
    <t>From</t>
  </si>
  <si>
    <t>Fastest Subway Path</t>
  </si>
  <si>
    <t>Time(min)</t>
  </si>
  <si>
    <t xml:space="preserve">Departeture Time </t>
  </si>
  <si>
    <t>Arrived Time</t>
  </si>
  <si>
    <t>line1</t>
  </si>
  <si>
    <t>Station</t>
  </si>
  <si>
    <t>Node</t>
  </si>
  <si>
    <t>Time</t>
  </si>
  <si>
    <t>index for graph</t>
  </si>
  <si>
    <t>Rource for userinput</t>
  </si>
  <si>
    <t>Transportation Time-Total</t>
  </si>
  <si>
    <t>Path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</si>
</sst>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400]h:mm:ss"/>
    <numFmt numFmtId="165" formatCode="[$-F400]\ h:\ mm:\ ss\ \Am\ /\ \Pm"/>
  </numFmts>
  <fonts count="5"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20" fontId="0" fillId="2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NumberFormat="1" applyFill="1" applyAlignment="1">
      <alignment horizontal="center"/>
    </xf>
    <xf numFmtId="20" fontId="0" fillId="3" borderId="0" xfId="0" applyNumberFormat="1" applyFill="1" applyAlignment="1">
      <alignment horizontal="center"/>
    </xf>
    <xf numFmtId="20" fontId="0" fillId="4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/>
    </xf>
    <xf numFmtId="20" fontId="0" fillId="0" borderId="0" xfId="0" applyNumberFormat="1" applyFill="1" applyAlignment="1">
      <alignment horizontal="center"/>
    </xf>
    <xf numFmtId="0" fontId="0" fillId="0" borderId="0" xfId="0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20" fontId="0" fillId="0" borderId="2" xfId="0" applyNumberFormat="1" applyBorder="1" applyAlignment="1">
      <alignment horizontal="center"/>
    </xf>
    <xf numFmtId="0" fontId="0" fillId="0" borderId="3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20" fontId="0" fillId="0" borderId="5" xfId="0" applyNumberFormat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0" fontId="0" fillId="0" borderId="7" xfId="0" applyBorder="1" applyAlignment="1">
      <alignment horizontal="center"/>
    </xf>
    <xf numFmtId="20" fontId="0" fillId="0" borderId="8" xfId="0" applyNumberFormat="1" applyBorder="1" applyAlignment="1">
      <alignment horizontal="center"/>
    </xf>
    <xf numFmtId="0" fontId="0" fillId="0" borderId="6" xfId="0" applyNumberFormat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0" fillId="0" borderId="3" xfId="0" applyNumberFormat="1" applyBorder="1" applyAlignment="1">
      <alignment horizontal="center"/>
    </xf>
    <xf numFmtId="0" fontId="0" fillId="0" borderId="9" xfId="0" applyNumberForma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NumberFormat="1" applyFill="1"/>
    <xf numFmtId="20" fontId="0" fillId="0" borderId="7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0" fillId="0" borderId="13" xfId="0" applyNumberFormat="1" applyBorder="1" applyAlignment="1">
      <alignment horizontal="center"/>
    </xf>
    <xf numFmtId="0" fontId="0" fillId="0" borderId="14" xfId="0" applyNumberFormat="1" applyBorder="1" applyAlignment="1">
      <alignment horizontal="center"/>
    </xf>
    <xf numFmtId="0" fontId="0" fillId="0" borderId="0" xfId="0" applyAlignment="1">
      <alignment horizontal="left"/>
    </xf>
    <xf numFmtId="20" fontId="0" fillId="0" borderId="0" xfId="0" applyNumberFormat="1" applyFill="1" applyAlignment="1">
      <alignment horizontal="left"/>
    </xf>
    <xf numFmtId="0" fontId="0" fillId="0" borderId="0" xfId="0" applyNumberFormat="1" applyAlignment="1">
      <alignment horizontal="left"/>
    </xf>
    <xf numFmtId="0" fontId="3" fillId="0" borderId="0" xfId="0" applyFont="1" applyFill="1" applyAlignment="1">
      <alignment horizontal="center"/>
    </xf>
    <xf numFmtId="19" fontId="3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9" fontId="2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19" fontId="1" fillId="0" borderId="0" xfId="0" applyNumberFormat="1" applyFont="1" applyFill="1" applyAlignment="1">
      <alignment horizontal="center"/>
    </xf>
    <xf numFmtId="0" fontId="1" fillId="0" borderId="0" xfId="0" applyNumberFormat="1" applyFont="1" applyFill="1" applyAlignment="1">
      <alignment horizontal="center"/>
    </xf>
    <xf numFmtId="20" fontId="1" fillId="0" borderId="0" xfId="0" applyNumberFormat="1" applyFont="1" applyFill="1" applyAlignment="1">
      <alignment horizontal="center"/>
    </xf>
    <xf numFmtId="0" fontId="0" fillId="0" borderId="0" xfId="0" applyNumberFormat="1" applyFill="1" applyAlignment="1">
      <alignment horizontal="left"/>
    </xf>
    <xf numFmtId="21" fontId="3" fillId="0" borderId="0" xfId="0" applyNumberFormat="1" applyFont="1" applyFill="1" applyAlignment="1">
      <alignment horizontal="center"/>
    </xf>
    <xf numFmtId="164" fontId="0" fillId="0" borderId="0" xfId="0" applyNumberFormat="1" applyFill="1"/>
    <xf numFmtId="165" fontId="2" fillId="0" borderId="0" xfId="0" applyNumberFormat="1" applyFont="1" applyFill="1" applyAlignment="1">
      <alignment horizontal="center"/>
    </xf>
    <xf numFmtId="21" fontId="2" fillId="0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</c:v>
          </c:tx>
          <c:spPr>
            <a:ln w="19050" cap="rnd">
              <a:solidFill>
                <a:schemeClr val="accent1"/>
              </a:solidFill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tailEnd type="triangle"/>
              </a:ln>
              <a:effectLst/>
            </c:spPr>
          </c:marker>
          <c:xVal>
            <c:numRef>
              <c:f>Connection!$D$19:$D$20</c:f>
              <c:numCache>
                <c:formatCode>h:mm</c:formatCode>
                <c:ptCount val="2"/>
                <c:pt idx="0">
                  <c:v>0.41666666666666669</c:v>
                </c:pt>
                <c:pt idx="1">
                  <c:v>0.75</c:v>
                </c:pt>
              </c:numCache>
            </c:numRef>
          </c:xVal>
          <c:yVal>
            <c:numRef>
              <c:f>Connection!$E$19:$E$20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EE-4E56-88EA-B1542C2F04F1}"/>
            </c:ext>
          </c:extLst>
        </c:ser>
        <c:ser>
          <c:idx val="1"/>
          <c:order val="1"/>
          <c:tx>
            <c:v>A</c:v>
          </c:tx>
          <c:spPr>
            <a:ln w="19050" cap="rnd">
              <a:solidFill>
                <a:schemeClr val="accent2"/>
              </a:solidFill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tailEnd type="triangle"/>
              </a:ln>
              <a:effectLst/>
            </c:spPr>
          </c:marker>
          <c:xVal>
            <c:numRef>
              <c:f>Connection!$D$21:$D$22</c:f>
              <c:numCache>
                <c:formatCode>h:mm</c:formatCode>
                <c:ptCount val="2"/>
                <c:pt idx="0">
                  <c:v>0.33333333333333331</c:v>
                </c:pt>
                <c:pt idx="1">
                  <c:v>0.79166666666666663</c:v>
                </c:pt>
              </c:numCache>
            </c:numRef>
          </c:xVal>
          <c:yVal>
            <c:numRef>
              <c:f>Connection!$E$21:$E$22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EE-4E56-88EA-B1542C2F04F1}"/>
            </c:ext>
          </c:extLst>
        </c:ser>
        <c:ser>
          <c:idx val="2"/>
          <c:order val="2"/>
          <c:tx>
            <c:v>C</c:v>
          </c:tx>
          <c:spPr>
            <a:ln w="19050" cap="rnd">
              <a:solidFill>
                <a:schemeClr val="accent3"/>
              </a:solidFill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tailEnd type="triangle"/>
              </a:ln>
              <a:effectLst/>
            </c:spPr>
          </c:marker>
          <c:xVal>
            <c:numRef>
              <c:f>Connection!$D$17:$D$18</c:f>
              <c:numCache>
                <c:formatCode>h:mm</c:formatCode>
                <c:ptCount val="2"/>
                <c:pt idx="0">
                  <c:v>0.36458333333333331</c:v>
                </c:pt>
                <c:pt idx="1">
                  <c:v>0.71527777777777779</c:v>
                </c:pt>
              </c:numCache>
            </c:numRef>
          </c:xVal>
          <c:yVal>
            <c:numRef>
              <c:f>Connection!$E$17:$E$18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DEE-4E56-88EA-B1542C2F04F1}"/>
            </c:ext>
          </c:extLst>
        </c:ser>
        <c:ser>
          <c:idx val="3"/>
          <c:order val="3"/>
          <c:tx>
            <c:v>D</c:v>
          </c:tx>
          <c:spPr>
            <a:ln w="19050" cap="rnd">
              <a:solidFill>
                <a:schemeClr val="accent4"/>
              </a:solidFill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tailEnd type="triangle"/>
              </a:ln>
              <a:effectLst/>
            </c:spPr>
          </c:marker>
          <c:xVal>
            <c:numRef>
              <c:f>Connection!$D$15:$D$16</c:f>
              <c:numCache>
                <c:formatCode>h:mm</c:formatCode>
                <c:ptCount val="2"/>
                <c:pt idx="0">
                  <c:v>0.38541666666666669</c:v>
                </c:pt>
                <c:pt idx="1">
                  <c:v>0.71875</c:v>
                </c:pt>
              </c:numCache>
            </c:numRef>
          </c:xVal>
          <c:yVal>
            <c:numRef>
              <c:f>Connection!$E$15:$E$16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DEE-4E56-88EA-B1542C2F04F1}"/>
            </c:ext>
          </c:extLst>
        </c:ser>
        <c:ser>
          <c:idx val="4"/>
          <c:order val="4"/>
          <c:tx>
            <c:v>E</c:v>
          </c:tx>
          <c:spPr>
            <a:ln w="19050" cap="rnd" cmpd="sng">
              <a:solidFill>
                <a:schemeClr val="accent5"/>
              </a:solidFill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 cmpd="sng">
                <a:solidFill>
                  <a:schemeClr val="accent5"/>
                </a:solidFill>
                <a:tailEnd type="triangle"/>
              </a:ln>
              <a:effectLst/>
            </c:spPr>
          </c:marker>
          <c:xVal>
            <c:numRef>
              <c:f>Connection!$D$13:$D$14</c:f>
              <c:numCache>
                <c:formatCode>h:mm</c:formatCode>
                <c:ptCount val="2"/>
                <c:pt idx="0">
                  <c:v>0.35416666666666669</c:v>
                </c:pt>
                <c:pt idx="1">
                  <c:v>0.75</c:v>
                </c:pt>
              </c:numCache>
            </c:numRef>
          </c:xVal>
          <c:yVal>
            <c:numRef>
              <c:f>Connection!$E$13:$E$14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DEE-4E56-88EA-B1542C2F04F1}"/>
            </c:ext>
          </c:extLst>
        </c:ser>
        <c:ser>
          <c:idx val="5"/>
          <c:order val="5"/>
          <c:tx>
            <c:v>line1-1</c:v>
          </c:tx>
          <c:spPr>
            <a:ln w="19050" cap="rnd">
              <a:solidFill>
                <a:schemeClr val="accent6"/>
              </a:solidFill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  <a:tailEnd type="triangle"/>
              </a:ln>
              <a:effectLst/>
            </c:spPr>
          </c:marker>
          <c:xVal>
            <c:numRef>
              <c:f>Connection!$B$2:$B$4</c:f>
              <c:numCache>
                <c:formatCode>h:mm</c:formatCode>
                <c:ptCount val="3"/>
                <c:pt idx="0">
                  <c:v>0.33333333333333331</c:v>
                </c:pt>
                <c:pt idx="1">
                  <c:v>0.36458333333333331</c:v>
                </c:pt>
                <c:pt idx="2">
                  <c:v>0.41666666666666669</c:v>
                </c:pt>
              </c:numCache>
            </c:numRef>
          </c:xVal>
          <c:yVal>
            <c:numRef>
              <c:f>Connection!$E$2:$E$4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DEE-4E56-88EA-B1542C2F04F1}"/>
            </c:ext>
          </c:extLst>
        </c:ser>
        <c:ser>
          <c:idx val="6"/>
          <c:order val="6"/>
          <c:tx>
            <c:v>line1-2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Connection!$C$2:$C$4</c:f>
              <c:numCache>
                <c:formatCode>h:mm</c:formatCode>
                <c:ptCount val="3"/>
                <c:pt idx="0">
                  <c:v>0.45833333333333331</c:v>
                </c:pt>
                <c:pt idx="1">
                  <c:v>0.5</c:v>
                </c:pt>
                <c:pt idx="2">
                  <c:v>0.55208333333333337</c:v>
                </c:pt>
              </c:numCache>
            </c:numRef>
          </c:xVal>
          <c:yVal>
            <c:numRef>
              <c:f>Connection!$E$2:$E$4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DEE-4E56-88EA-B1542C2F04F1}"/>
            </c:ext>
          </c:extLst>
        </c:ser>
        <c:ser>
          <c:idx val="7"/>
          <c:order val="7"/>
          <c:tx>
            <c:v>line1-3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tailEnd type="triangle"/>
              </a:ln>
              <a:effectLst/>
            </c:spPr>
          </c:marker>
          <c:xVal>
            <c:numRef>
              <c:f>Connection!$D$2:$D$4</c:f>
              <c:numCache>
                <c:formatCode>h:mm</c:formatCode>
                <c:ptCount val="3"/>
                <c:pt idx="0">
                  <c:v>0.66666666666666663</c:v>
                </c:pt>
                <c:pt idx="1">
                  <c:v>0.69791666666666663</c:v>
                </c:pt>
                <c:pt idx="2">
                  <c:v>0.75</c:v>
                </c:pt>
              </c:numCache>
            </c:numRef>
          </c:xVal>
          <c:yVal>
            <c:numRef>
              <c:f>Connection!$E$2:$E$4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DEE-4E56-88EA-B1542C2F04F1}"/>
            </c:ext>
          </c:extLst>
        </c:ser>
        <c:ser>
          <c:idx val="8"/>
          <c:order val="8"/>
          <c:tx>
            <c:v>line2-1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tailEnd type="triangle"/>
              </a:ln>
              <a:effectLst/>
            </c:spPr>
          </c:marker>
          <c:xVal>
            <c:numRef>
              <c:f>Connection!$B$6:$B$8</c:f>
              <c:numCache>
                <c:formatCode>h:mm</c:formatCode>
                <c:ptCount val="3"/>
                <c:pt idx="0">
                  <c:v>0.35416666666666669</c:v>
                </c:pt>
                <c:pt idx="1">
                  <c:v>0.38541666666666669</c:v>
                </c:pt>
                <c:pt idx="2">
                  <c:v>0.4375</c:v>
                </c:pt>
              </c:numCache>
            </c:numRef>
          </c:xVal>
          <c:yVal>
            <c:numRef>
              <c:f>Connection!$E$6:$E$8</c:f>
              <c:numCache>
                <c:formatCode>General</c:formatCode>
                <c:ptCount val="3"/>
                <c:pt idx="0">
                  <c:v>5</c:v>
                </c:pt>
                <c:pt idx="1">
                  <c:v>4</c:v>
                </c:pt>
                <c:pt idx="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DEE-4E56-88EA-B1542C2F04F1}"/>
            </c:ext>
          </c:extLst>
        </c:ser>
        <c:ser>
          <c:idx val="9"/>
          <c:order val="9"/>
          <c:tx>
            <c:v>line2-2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tailEnd type="triangle"/>
              </a:ln>
              <a:effectLst/>
            </c:spPr>
          </c:marker>
          <c:xVal>
            <c:numRef>
              <c:f>Connection!$C$6:$C$8</c:f>
              <c:numCache>
                <c:formatCode>h:mm</c:formatCode>
                <c:ptCount val="3"/>
                <c:pt idx="0">
                  <c:v>0.47916666666666669</c:v>
                </c:pt>
                <c:pt idx="1">
                  <c:v>0.51041666666666663</c:v>
                </c:pt>
                <c:pt idx="2">
                  <c:v>0.5625</c:v>
                </c:pt>
              </c:numCache>
            </c:numRef>
          </c:xVal>
          <c:yVal>
            <c:numRef>
              <c:f>Connection!$E$6:$E$8</c:f>
              <c:numCache>
                <c:formatCode>General</c:formatCode>
                <c:ptCount val="3"/>
                <c:pt idx="0">
                  <c:v>5</c:v>
                </c:pt>
                <c:pt idx="1">
                  <c:v>4</c:v>
                </c:pt>
                <c:pt idx="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DEE-4E56-88EA-B1542C2F04F1}"/>
            </c:ext>
          </c:extLst>
        </c:ser>
        <c:ser>
          <c:idx val="10"/>
          <c:order val="10"/>
          <c:tx>
            <c:v>line2-3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Connection!$D$6:$D$8</c:f>
              <c:numCache>
                <c:formatCode>h:mm</c:formatCode>
                <c:ptCount val="3"/>
                <c:pt idx="0">
                  <c:v>0.6875</c:v>
                </c:pt>
                <c:pt idx="1">
                  <c:v>0.71875</c:v>
                </c:pt>
                <c:pt idx="2">
                  <c:v>0.77083333333333337</c:v>
                </c:pt>
              </c:numCache>
            </c:numRef>
          </c:xVal>
          <c:yVal>
            <c:numRef>
              <c:f>Connection!$E$6:$E$8</c:f>
              <c:numCache>
                <c:formatCode>General</c:formatCode>
                <c:ptCount val="3"/>
                <c:pt idx="0">
                  <c:v>5</c:v>
                </c:pt>
                <c:pt idx="1">
                  <c:v>4</c:v>
                </c:pt>
                <c:pt idx="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DEE-4E56-88EA-B1542C2F04F1}"/>
            </c:ext>
          </c:extLst>
        </c:ser>
        <c:ser>
          <c:idx val="11"/>
          <c:order val="11"/>
          <c:tx>
            <c:v>line3-1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tailEnd type="triangle"/>
              </a:ln>
              <a:effectLst/>
            </c:spPr>
          </c:marker>
          <c:xVal>
            <c:numRef>
              <c:f>Connection!$B$10:$B$12</c:f>
              <c:numCache>
                <c:formatCode>h:mm</c:formatCode>
                <c:ptCount val="3"/>
                <c:pt idx="0">
                  <c:v>0.38194444444444442</c:v>
                </c:pt>
                <c:pt idx="1">
                  <c:v>0.41666666666666669</c:v>
                </c:pt>
                <c:pt idx="2">
                  <c:v>0.45833333333333331</c:v>
                </c:pt>
              </c:numCache>
            </c:numRef>
          </c:xVal>
          <c:yVal>
            <c:numRef>
              <c:f>Connection!$E$10:$E$12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DEE-4E56-88EA-B1542C2F04F1}"/>
            </c:ext>
          </c:extLst>
        </c:ser>
        <c:ser>
          <c:idx val="12"/>
          <c:order val="12"/>
          <c:tx>
            <c:v>line3-2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tailEnd type="triangle"/>
              </a:ln>
              <a:effectLst/>
            </c:spPr>
          </c:marker>
          <c:xVal>
            <c:numRef>
              <c:f>Connection!$C$10:$C$12</c:f>
              <c:numCache>
                <c:formatCode>h:mm</c:formatCode>
                <c:ptCount val="3"/>
                <c:pt idx="0">
                  <c:v>0.50694444444444442</c:v>
                </c:pt>
                <c:pt idx="1">
                  <c:v>0.54166666666666663</c:v>
                </c:pt>
                <c:pt idx="2">
                  <c:v>0.58333333333333337</c:v>
                </c:pt>
              </c:numCache>
            </c:numRef>
          </c:xVal>
          <c:yVal>
            <c:numRef>
              <c:f>Connection!$E$10:$E$12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DEE-4E56-88EA-B1542C2F04F1}"/>
            </c:ext>
          </c:extLst>
        </c:ser>
        <c:ser>
          <c:idx val="13"/>
          <c:order val="13"/>
          <c:tx>
            <c:v>line3-3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  <a:tailEnd type="triangle"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tailEnd type="triangle"/>
              </a:ln>
              <a:effectLst/>
            </c:spPr>
          </c:marker>
          <c:xVal>
            <c:numRef>
              <c:f>Connection!$D$10:$D$12</c:f>
              <c:numCache>
                <c:formatCode>h:mm</c:formatCode>
                <c:ptCount val="3"/>
                <c:pt idx="0">
                  <c:v>0.70833333333333337</c:v>
                </c:pt>
                <c:pt idx="1">
                  <c:v>0.75</c:v>
                </c:pt>
                <c:pt idx="2">
                  <c:v>0.79166666666666663</c:v>
                </c:pt>
              </c:numCache>
            </c:numRef>
          </c:xVal>
          <c:yVal>
            <c:numRef>
              <c:f>Connection!$E$10:$E$12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DEE-4E56-88EA-B1542C2F0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4719871"/>
        <c:axId val="1374721119"/>
      </c:scatterChart>
      <c:valAx>
        <c:axId val="137471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 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721119"/>
        <c:crosses val="autoZero"/>
        <c:crossBetween val="midCat"/>
      </c:valAx>
      <c:valAx>
        <c:axId val="1374721119"/>
        <c:scaling>
          <c:orientation val="minMax"/>
          <c:max val="5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Station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719871"/>
        <c:crosses val="autoZero"/>
        <c:crossBetween val="midCat"/>
        <c:majorUnit val="1"/>
      </c:valAx>
      <c:spPr>
        <a:noFill/>
        <a:ln>
          <a:noFill/>
          <a:tailEnd type="triangle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4</xdr:row>
          <xdr:rowOff>85725</xdr:rowOff>
        </xdr:from>
        <xdr:to>
          <xdr:col>8</xdr:col>
          <xdr:colOff>571500</xdr:colOff>
          <xdr:row>6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1</xdr:row>
          <xdr:rowOff>9525</xdr:rowOff>
        </xdr:from>
        <xdr:to>
          <xdr:col>8</xdr:col>
          <xdr:colOff>581025</xdr:colOff>
          <xdr:row>3</xdr:row>
          <xdr:rowOff>95250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for the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Fatest Path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266699</xdr:colOff>
      <xdr:row>25</xdr:row>
      <xdr:rowOff>161925</xdr:rowOff>
    </xdr:from>
    <xdr:to>
      <xdr:col>8</xdr:col>
      <xdr:colOff>361949</xdr:colOff>
      <xdr:row>41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23</xdr:row>
          <xdr:rowOff>76200</xdr:rowOff>
        </xdr:from>
        <xdr:to>
          <xdr:col>2</xdr:col>
          <xdr:colOff>76200</xdr:colOff>
          <xdr:row>25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31"/>
  <sheetViews>
    <sheetView tabSelected="1" workbookViewId="0">
      <selection activeCell="F9" sqref="F9"/>
    </sheetView>
  </sheetViews>
  <sheetFormatPr defaultColWidth="9.140625" defaultRowHeight="15.75"/>
  <cols>
    <col min="1" max="2" width="7.5703125" style="47" customWidth="1"/>
    <col min="3" max="3" width="21.5703125" style="47" customWidth="1"/>
    <col min="4" max="4" width="21.5703125" style="49" customWidth="1"/>
    <col min="5" max="5" width="21.5703125" style="47" customWidth="1"/>
    <col min="6" max="6" width="24.42578125" style="49" bestFit="1" customWidth="1"/>
    <col min="7" max="7" width="30.42578125" style="45" customWidth="1"/>
    <col min="8" max="8" width="10.5703125" style="4" customWidth="1"/>
    <col min="9" max="16384" width="9.140625" style="4"/>
  </cols>
  <sheetData>
    <row r="1" spans="1:8">
      <c r="A1" s="42" t="s">
        <v>43</v>
      </c>
      <c r="B1" s="43" t="s">
        <v>35</v>
      </c>
      <c r="C1" s="42" t="s">
        <v>46</v>
      </c>
      <c r="D1" s="52" t="s">
        <v>47</v>
      </c>
      <c r="E1" s="42" t="s">
        <v>44</v>
      </c>
      <c r="F1" s="44" t="s">
        <v>55</v>
      </c>
      <c r="G1" s="42" t="s">
        <v>54</v>
      </c>
    </row>
    <row r="2" spans="1:8">
      <c r="A2" s="45"/>
      <c r="B2" s="46"/>
      <c r="C2" s="54"/>
      <c r="D2" s="46"/>
      <c r="E2" s="45"/>
      <c r="F2" s="55"/>
      <c r="G2" s="55"/>
    </row>
    <row r="3" spans="1:8">
      <c r="B3" s="48"/>
    </row>
    <row r="4" spans="1:8">
      <c r="B4" s="48"/>
    </row>
    <row r="5" spans="1:8">
      <c r="B5" s="48"/>
    </row>
    <row r="6" spans="1:8">
      <c r="B6" s="48"/>
    </row>
    <row r="7" spans="1:8">
      <c r="B7" s="48"/>
      <c r="F7" s="48"/>
    </row>
    <row r="8" spans="1:8">
      <c r="B8" s="48"/>
    </row>
    <row r="9" spans="1:8">
      <c r="B9" s="48"/>
    </row>
    <row r="10" spans="1:8">
      <c r="B10" s="48"/>
    </row>
    <row r="11" spans="1:8">
      <c r="B11" s="48"/>
      <c r="H11" s="53"/>
    </row>
    <row r="12" spans="1:8">
      <c r="B12" s="48"/>
      <c r="E12" s="45"/>
      <c r="H12" s="33"/>
    </row>
    <row r="13" spans="1:8">
      <c r="B13" s="48"/>
      <c r="H13" s="33"/>
    </row>
    <row r="14" spans="1:8">
      <c r="B14" s="48"/>
    </row>
    <row r="15" spans="1:8">
      <c r="B15" s="48"/>
    </row>
    <row r="16" spans="1:8">
      <c r="B16" s="48"/>
    </row>
    <row r="17" spans="2:3">
      <c r="B17" s="48"/>
    </row>
    <row r="18" spans="2:3">
      <c r="B18" s="48"/>
    </row>
    <row r="19" spans="2:3">
      <c r="B19" s="48"/>
    </row>
    <row r="20" spans="2:3">
      <c r="B20" s="48"/>
    </row>
    <row r="21" spans="2:3">
      <c r="B21" s="48"/>
    </row>
    <row r="22" spans="2:3">
      <c r="B22" s="48"/>
    </row>
    <row r="23" spans="2:3">
      <c r="B23" s="48"/>
    </row>
    <row r="24" spans="2:3">
      <c r="B24" s="48"/>
    </row>
    <row r="25" spans="2:3">
      <c r="B25" s="48"/>
    </row>
    <row r="26" spans="2:3">
      <c r="B26" s="48"/>
    </row>
    <row r="27" spans="2:3">
      <c r="B27" s="48"/>
    </row>
    <row r="28" spans="2:3">
      <c r="B28" s="48"/>
    </row>
    <row r="29" spans="2:3">
      <c r="B29" s="48"/>
    </row>
    <row r="30" spans="2:3">
      <c r="B30" s="48"/>
      <c r="C30" s="50"/>
    </row>
    <row r="31" spans="2:3">
      <c r="B31" s="48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_xludf.clean">
                <anchor moveWithCells="1" sizeWithCells="1">
                  <from>
                    <xdr:col>7</xdr:col>
                    <xdr:colOff>57150</xdr:colOff>
                    <xdr:row>4</xdr:row>
                    <xdr:rowOff>85725</xdr:rowOff>
                  </from>
                  <to>
                    <xdr:col>8</xdr:col>
                    <xdr:colOff>571500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opentheuserform_Click">
                <anchor moveWithCells="1" sizeWithCells="1">
                  <from>
                    <xdr:col>7</xdr:col>
                    <xdr:colOff>66675</xdr:colOff>
                    <xdr:row>1</xdr:row>
                    <xdr:rowOff>9525</xdr:rowOff>
                  </from>
                  <to>
                    <xdr:col>8</xdr:col>
                    <xdr:colOff>581025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43"/>
  <sheetViews>
    <sheetView topLeftCell="A13" zoomScaleNormal="100" workbookViewId="0">
      <selection activeCell="D24" sqref="D24"/>
    </sheetView>
  </sheetViews>
  <sheetFormatPr defaultRowHeight="15"/>
  <cols>
    <col min="2" max="2" width="9.140625" style="3"/>
    <col min="3" max="3" width="9.140625" style="1"/>
    <col min="4" max="4" width="9.140625" style="3"/>
    <col min="5" max="5" width="19.28515625" style="39" bestFit="1" customWidth="1"/>
    <col min="6" max="6" width="9.140625" style="3"/>
    <col min="7" max="7" width="9.140625" style="1"/>
    <col min="9" max="9" width="9.140625" style="1"/>
    <col min="10" max="11" width="0" style="5" hidden="1" customWidth="1"/>
    <col min="12" max="12" width="9.140625" style="5"/>
    <col min="13" max="13" width="10" style="5" bestFit="1" customWidth="1"/>
    <col min="14" max="14" width="9.140625" style="1"/>
    <col min="15" max="15" width="11.5703125" style="1" bestFit="1" customWidth="1"/>
    <col min="16" max="16" width="10.7109375" style="1" bestFit="1" customWidth="1"/>
    <col min="17" max="20" width="9.140625" style="1"/>
    <col min="21" max="21" width="10.28515625" style="7" bestFit="1" customWidth="1"/>
    <col min="23" max="25" width="0" hidden="1" customWidth="1"/>
    <col min="26" max="26" width="19.42578125" style="1" bestFit="1" customWidth="1"/>
  </cols>
  <sheetData>
    <row r="1" spans="1:26">
      <c r="A1" t="s">
        <v>48</v>
      </c>
      <c r="E1" s="39" t="s">
        <v>52</v>
      </c>
      <c r="F1" s="1" t="s">
        <v>49</v>
      </c>
      <c r="G1" s="7" t="s">
        <v>50</v>
      </c>
      <c r="H1" s="7" t="s">
        <v>36</v>
      </c>
      <c r="I1" s="5" t="s">
        <v>51</v>
      </c>
      <c r="M1" s="30" t="s">
        <v>37</v>
      </c>
      <c r="N1" s="31" t="s">
        <v>34</v>
      </c>
      <c r="O1" s="31" t="s">
        <v>41</v>
      </c>
      <c r="P1" s="32" t="s">
        <v>38</v>
      </c>
      <c r="Q1" s="31" t="s">
        <v>39</v>
      </c>
      <c r="R1" s="31" t="s">
        <v>35</v>
      </c>
      <c r="S1" s="31" t="s">
        <v>42</v>
      </c>
      <c r="T1" s="32" t="s">
        <v>40</v>
      </c>
      <c r="U1" s="36" t="s">
        <v>45</v>
      </c>
      <c r="Z1" s="1" t="s">
        <v>53</v>
      </c>
    </row>
    <row r="2" spans="1:26">
      <c r="A2" s="4" t="s">
        <v>0</v>
      </c>
      <c r="B2" s="10">
        <v>0.33333333333333331</v>
      </c>
      <c r="C2" s="10">
        <v>0.45833333333333331</v>
      </c>
      <c r="D2" s="10">
        <v>0.66666666666666663</v>
      </c>
      <c r="E2" s="39">
        <v>1</v>
      </c>
      <c r="F2" s="9" t="s">
        <v>7</v>
      </c>
      <c r="G2" s="8">
        <v>1</v>
      </c>
      <c r="H2" s="8">
        <v>1</v>
      </c>
      <c r="I2" s="2">
        <v>0.33333333333333331</v>
      </c>
      <c r="K2" s="16"/>
      <c r="M2" s="24">
        <v>1</v>
      </c>
      <c r="N2" s="25" t="s">
        <v>0</v>
      </c>
      <c r="O2" s="25">
        <v>1</v>
      </c>
      <c r="P2" s="26">
        <v>0.33333333333333331</v>
      </c>
      <c r="Q2" s="27">
        <v>3</v>
      </c>
      <c r="R2" s="25" t="s">
        <v>0</v>
      </c>
      <c r="S2" s="25">
        <v>4</v>
      </c>
      <c r="T2" s="34">
        <v>0.45833333333333331</v>
      </c>
      <c r="U2" s="36">
        <f>(T2-P2)*24*60</f>
        <v>180</v>
      </c>
      <c r="Z2" s="1" t="s">
        <v>0</v>
      </c>
    </row>
    <row r="3" spans="1:26">
      <c r="A3" s="4" t="s">
        <v>2</v>
      </c>
      <c r="B3" s="10">
        <v>0.36458333333333331</v>
      </c>
      <c r="C3" s="10">
        <v>0.5</v>
      </c>
      <c r="D3" s="10">
        <v>0.69791666666666663</v>
      </c>
      <c r="E3" s="39">
        <v>3</v>
      </c>
      <c r="F3" s="9" t="s">
        <v>11</v>
      </c>
      <c r="G3" s="8">
        <v>2</v>
      </c>
      <c r="H3" s="8">
        <v>1</v>
      </c>
      <c r="I3" s="2">
        <v>0.46875</v>
      </c>
      <c r="K3" s="16"/>
      <c r="M3" s="19">
        <v>3</v>
      </c>
      <c r="N3" s="17" t="s">
        <v>0</v>
      </c>
      <c r="O3" s="17">
        <v>4</v>
      </c>
      <c r="P3" s="20">
        <v>0.45833333333333331</v>
      </c>
      <c r="Q3" s="28">
        <v>1</v>
      </c>
      <c r="R3" s="17" t="s">
        <v>0</v>
      </c>
      <c r="S3" s="17">
        <v>2</v>
      </c>
      <c r="T3" s="18">
        <v>0.46875</v>
      </c>
      <c r="U3" s="37">
        <f t="shared" ref="U3:U41" si="0">(T3-P3)*24*60</f>
        <v>15.000000000000027</v>
      </c>
      <c r="Z3" s="1" t="s">
        <v>1</v>
      </c>
    </row>
    <row r="4" spans="1:26">
      <c r="A4" s="4" t="s">
        <v>4</v>
      </c>
      <c r="B4" s="10">
        <v>0.41666666666666669</v>
      </c>
      <c r="C4" s="10">
        <v>0.55208333333333337</v>
      </c>
      <c r="D4" s="10">
        <v>0.75</v>
      </c>
      <c r="E4" s="39">
        <v>5</v>
      </c>
      <c r="F4" s="9" t="s">
        <v>12</v>
      </c>
      <c r="G4" s="8">
        <v>3</v>
      </c>
      <c r="H4" s="8">
        <v>1</v>
      </c>
      <c r="I4" s="2">
        <v>0.66666666666666663</v>
      </c>
      <c r="K4" s="16"/>
      <c r="M4" s="19">
        <v>1</v>
      </c>
      <c r="N4" s="17" t="s">
        <v>0</v>
      </c>
      <c r="O4" s="17">
        <v>2</v>
      </c>
      <c r="P4" s="20">
        <v>0.46875</v>
      </c>
      <c r="Q4" s="28">
        <v>3</v>
      </c>
      <c r="R4" s="17" t="s">
        <v>0</v>
      </c>
      <c r="S4" s="17">
        <v>5</v>
      </c>
      <c r="T4" s="18">
        <v>0.58333333333333337</v>
      </c>
      <c r="U4" s="37">
        <f t="shared" si="0"/>
        <v>165.00000000000006</v>
      </c>
      <c r="Z4" s="1" t="s">
        <v>2</v>
      </c>
    </row>
    <row r="5" spans="1:26">
      <c r="A5" s="4" t="s">
        <v>5</v>
      </c>
      <c r="B5" s="1"/>
      <c r="D5" s="1"/>
      <c r="F5" s="11" t="s">
        <v>28</v>
      </c>
      <c r="G5" s="12">
        <v>4</v>
      </c>
      <c r="H5" s="12">
        <v>3</v>
      </c>
      <c r="I5" s="2">
        <v>0.45833333333333331</v>
      </c>
      <c r="K5" s="16"/>
      <c r="M5" s="19">
        <v>3</v>
      </c>
      <c r="N5" s="17" t="s">
        <v>0</v>
      </c>
      <c r="O5" s="17">
        <v>5</v>
      </c>
      <c r="P5" s="20">
        <v>0.58333333333333337</v>
      </c>
      <c r="Q5" s="28">
        <v>1</v>
      </c>
      <c r="R5" s="17" t="s">
        <v>0</v>
      </c>
      <c r="S5" s="17">
        <v>3</v>
      </c>
      <c r="T5" s="18">
        <v>0.66666666666666663</v>
      </c>
      <c r="U5" s="37">
        <f t="shared" si="0"/>
        <v>119.99999999999989</v>
      </c>
      <c r="Z5" s="1" t="s">
        <v>3</v>
      </c>
    </row>
    <row r="6" spans="1:26">
      <c r="A6" s="4" t="s">
        <v>4</v>
      </c>
      <c r="B6" s="14">
        <v>0.35416666666666669</v>
      </c>
      <c r="C6" s="14">
        <v>0.47916666666666669</v>
      </c>
      <c r="D6" s="14">
        <v>0.6875</v>
      </c>
      <c r="E6" s="39">
        <v>5</v>
      </c>
      <c r="F6" s="11" t="s">
        <v>29</v>
      </c>
      <c r="G6" s="12">
        <v>5</v>
      </c>
      <c r="H6" s="12">
        <v>3</v>
      </c>
      <c r="I6" s="2">
        <v>0.58333333333333337</v>
      </c>
      <c r="K6" s="16"/>
      <c r="M6" s="19">
        <v>1</v>
      </c>
      <c r="N6" s="17" t="s">
        <v>0</v>
      </c>
      <c r="O6" s="17">
        <v>3</v>
      </c>
      <c r="P6" s="20">
        <v>0.66666666666666663</v>
      </c>
      <c r="Q6" s="28">
        <v>3</v>
      </c>
      <c r="R6" s="17" t="s">
        <v>0</v>
      </c>
      <c r="S6" s="17">
        <v>6</v>
      </c>
      <c r="T6" s="18">
        <v>0.79166666666666663</v>
      </c>
      <c r="U6" s="37">
        <f t="shared" si="0"/>
        <v>180</v>
      </c>
      <c r="Z6" s="1" t="s">
        <v>4</v>
      </c>
    </row>
    <row r="7" spans="1:26">
      <c r="A7" s="4" t="s">
        <v>3</v>
      </c>
      <c r="B7" s="14">
        <v>0.38541666666666669</v>
      </c>
      <c r="C7" s="14">
        <v>0.51041666666666663</v>
      </c>
      <c r="D7" s="14">
        <v>0.71875</v>
      </c>
      <c r="E7" s="39">
        <v>4</v>
      </c>
      <c r="F7" s="11" t="s">
        <v>30</v>
      </c>
      <c r="G7" s="12">
        <v>6</v>
      </c>
      <c r="H7" s="12">
        <v>3</v>
      </c>
      <c r="I7" s="2">
        <v>0.79166666666666663</v>
      </c>
      <c r="K7" s="16"/>
      <c r="M7" s="19">
        <v>3</v>
      </c>
      <c r="N7" s="17" t="s">
        <v>1</v>
      </c>
      <c r="O7" s="17">
        <v>7</v>
      </c>
      <c r="P7" s="20">
        <v>0.41666666666666669</v>
      </c>
      <c r="Q7" s="28">
        <v>2</v>
      </c>
      <c r="R7" s="17" t="s">
        <v>1</v>
      </c>
      <c r="S7" s="17">
        <v>10</v>
      </c>
      <c r="T7" s="18">
        <v>0.4375</v>
      </c>
      <c r="U7" s="37">
        <f t="shared" si="0"/>
        <v>29.999999999999972</v>
      </c>
    </row>
    <row r="8" spans="1:26">
      <c r="A8" s="4" t="s">
        <v>1</v>
      </c>
      <c r="B8" s="14">
        <v>0.4375</v>
      </c>
      <c r="C8" s="14">
        <v>0.5625</v>
      </c>
      <c r="D8" s="14">
        <v>0.77083333333333337</v>
      </c>
      <c r="E8" s="39">
        <v>2</v>
      </c>
      <c r="F8" s="13" t="s">
        <v>25</v>
      </c>
      <c r="G8" s="12">
        <v>7</v>
      </c>
      <c r="H8" s="12">
        <v>2</v>
      </c>
      <c r="I8" s="2">
        <v>0.4375</v>
      </c>
      <c r="K8" s="16"/>
      <c r="M8" s="19">
        <v>2</v>
      </c>
      <c r="N8" s="17" t="s">
        <v>1</v>
      </c>
      <c r="O8" s="17">
        <v>10</v>
      </c>
      <c r="P8" s="20">
        <v>0.4375</v>
      </c>
      <c r="Q8" s="28">
        <v>3</v>
      </c>
      <c r="R8" s="17" t="s">
        <v>1</v>
      </c>
      <c r="S8" s="17">
        <v>8</v>
      </c>
      <c r="T8" s="18">
        <v>0.54166666666666663</v>
      </c>
      <c r="U8" s="37">
        <f t="shared" si="0"/>
        <v>149.99999999999994</v>
      </c>
    </row>
    <row r="9" spans="1:26">
      <c r="A9" s="4" t="s">
        <v>6</v>
      </c>
      <c r="B9" s="1"/>
      <c r="D9" s="1"/>
      <c r="F9" s="13" t="s">
        <v>26</v>
      </c>
      <c r="G9" s="12">
        <v>8</v>
      </c>
      <c r="H9" s="12">
        <v>2</v>
      </c>
      <c r="I9" s="2">
        <v>0.5625</v>
      </c>
      <c r="K9" s="16"/>
      <c r="M9" s="19">
        <v>3</v>
      </c>
      <c r="N9" s="17" t="s">
        <v>1</v>
      </c>
      <c r="O9" s="17">
        <v>8</v>
      </c>
      <c r="P9" s="20">
        <v>0.54166666666666663</v>
      </c>
      <c r="Q9" s="28">
        <v>2</v>
      </c>
      <c r="R9" s="17" t="s">
        <v>1</v>
      </c>
      <c r="S9" s="17">
        <v>11</v>
      </c>
      <c r="T9" s="2">
        <v>0.5625</v>
      </c>
      <c r="U9" s="37">
        <f t="shared" si="0"/>
        <v>30.000000000000053</v>
      </c>
    </row>
    <row r="10" spans="1:26">
      <c r="A10" s="4" t="s">
        <v>2</v>
      </c>
      <c r="B10" s="13">
        <v>0.38194444444444442</v>
      </c>
      <c r="C10" s="13">
        <v>0.50694444444444442</v>
      </c>
      <c r="D10" s="13">
        <v>0.70833333333333337</v>
      </c>
      <c r="E10" s="39">
        <v>3</v>
      </c>
      <c r="F10" s="13" t="s">
        <v>27</v>
      </c>
      <c r="G10" s="12">
        <v>9</v>
      </c>
      <c r="H10" s="12">
        <v>2</v>
      </c>
      <c r="I10" s="2">
        <v>0.77083333333333337</v>
      </c>
      <c r="K10" s="16"/>
      <c r="M10" s="19">
        <v>2</v>
      </c>
      <c r="N10" s="17" t="s">
        <v>1</v>
      </c>
      <c r="O10" s="17">
        <v>11</v>
      </c>
      <c r="P10" s="20">
        <v>0.5625</v>
      </c>
      <c r="Q10" s="28">
        <v>3</v>
      </c>
      <c r="R10" s="17" t="s">
        <v>1</v>
      </c>
      <c r="S10" s="17">
        <v>9</v>
      </c>
      <c r="T10" s="18">
        <v>0.75</v>
      </c>
      <c r="U10" s="37">
        <f t="shared" si="0"/>
        <v>270</v>
      </c>
    </row>
    <row r="11" spans="1:26">
      <c r="A11" t="s">
        <v>1</v>
      </c>
      <c r="B11" s="13">
        <v>0.41666666666666669</v>
      </c>
      <c r="C11" s="13">
        <v>0.54166666666666663</v>
      </c>
      <c r="D11" s="13">
        <v>0.75</v>
      </c>
      <c r="E11" s="39">
        <v>2</v>
      </c>
      <c r="F11" s="14" t="s">
        <v>19</v>
      </c>
      <c r="G11" s="15">
        <v>10</v>
      </c>
      <c r="H11" s="15">
        <v>3</v>
      </c>
      <c r="I11" s="2">
        <v>0.41666666666666669</v>
      </c>
      <c r="M11" s="19">
        <v>3</v>
      </c>
      <c r="N11" s="17" t="s">
        <v>1</v>
      </c>
      <c r="O11" s="17">
        <v>9</v>
      </c>
      <c r="P11" s="2">
        <v>0.75</v>
      </c>
      <c r="Q11" s="28">
        <v>2</v>
      </c>
      <c r="R11" s="17" t="s">
        <v>1</v>
      </c>
      <c r="S11" s="17">
        <v>12</v>
      </c>
      <c r="T11" s="18">
        <v>0.77083333333333337</v>
      </c>
      <c r="U11" s="37">
        <f>(T11-P11)*24*60</f>
        <v>30.000000000000053</v>
      </c>
    </row>
    <row r="12" spans="1:26">
      <c r="A12" t="s">
        <v>0</v>
      </c>
      <c r="B12" s="13">
        <v>0.45833333333333331</v>
      </c>
      <c r="C12" s="13">
        <v>0.58333333333333337</v>
      </c>
      <c r="D12" s="13">
        <v>0.79166666666666663</v>
      </c>
      <c r="E12" s="39">
        <v>1</v>
      </c>
      <c r="F12" s="14" t="s">
        <v>20</v>
      </c>
      <c r="G12" s="15">
        <v>11</v>
      </c>
      <c r="H12" s="15">
        <v>3</v>
      </c>
      <c r="I12" s="2">
        <v>0.54166666666666663</v>
      </c>
      <c r="M12" s="19">
        <v>1</v>
      </c>
      <c r="N12" s="17" t="s">
        <v>2</v>
      </c>
      <c r="O12" s="17">
        <v>13</v>
      </c>
      <c r="P12" s="20">
        <v>0.36458333333333331</v>
      </c>
      <c r="Q12" s="28">
        <v>3</v>
      </c>
      <c r="R12" s="17" t="s">
        <v>2</v>
      </c>
      <c r="S12" s="17">
        <v>16</v>
      </c>
      <c r="T12" s="18">
        <v>0.38194444444444442</v>
      </c>
      <c r="U12" s="37">
        <f t="shared" si="0"/>
        <v>24.999999999999993</v>
      </c>
    </row>
    <row r="13" spans="1:26">
      <c r="D13" s="2">
        <f>MIN(I23:I28)</f>
        <v>0.35416666666666669</v>
      </c>
      <c r="E13" s="51">
        <v>5</v>
      </c>
      <c r="F13" s="14" t="s">
        <v>21</v>
      </c>
      <c r="G13" s="15">
        <v>12</v>
      </c>
      <c r="H13" s="15">
        <v>3</v>
      </c>
      <c r="I13" s="2">
        <v>0.75</v>
      </c>
      <c r="M13" s="19">
        <v>3</v>
      </c>
      <c r="N13" s="17" t="s">
        <v>2</v>
      </c>
      <c r="O13" s="17">
        <v>16</v>
      </c>
      <c r="P13" s="20">
        <v>0.38194444444444442</v>
      </c>
      <c r="Q13" s="28">
        <v>1</v>
      </c>
      <c r="R13" s="17" t="s">
        <v>2</v>
      </c>
      <c r="S13" s="17">
        <v>14</v>
      </c>
      <c r="T13" s="18">
        <v>0.5</v>
      </c>
      <c r="U13" s="37">
        <f t="shared" si="0"/>
        <v>170.00000000000003</v>
      </c>
    </row>
    <row r="14" spans="1:26">
      <c r="D14" s="2">
        <f>MAX(I23:I28)</f>
        <v>0.75</v>
      </c>
      <c r="E14" s="41">
        <v>5</v>
      </c>
      <c r="F14" s="10" t="s">
        <v>8</v>
      </c>
      <c r="G14" s="8">
        <v>13</v>
      </c>
      <c r="H14" s="8">
        <v>1</v>
      </c>
      <c r="I14" s="2">
        <v>0.36458333333333331</v>
      </c>
      <c r="M14" s="19">
        <v>1</v>
      </c>
      <c r="N14" s="17" t="s">
        <v>2</v>
      </c>
      <c r="O14" s="17">
        <v>14</v>
      </c>
      <c r="P14" s="20">
        <v>0.5</v>
      </c>
      <c r="Q14" s="28">
        <v>3</v>
      </c>
      <c r="R14" s="17" t="s">
        <v>2</v>
      </c>
      <c r="S14" s="17">
        <v>17</v>
      </c>
      <c r="T14" s="18">
        <v>0.50694444444444442</v>
      </c>
      <c r="U14" s="37">
        <f t="shared" si="0"/>
        <v>9.9999999999999645</v>
      </c>
    </row>
    <row r="15" spans="1:26">
      <c r="D15" s="2">
        <f>MIN(I20:I22)</f>
        <v>0.38541666666666669</v>
      </c>
      <c r="E15" s="41">
        <v>4</v>
      </c>
      <c r="F15" s="10" t="s">
        <v>9</v>
      </c>
      <c r="G15" s="8">
        <v>14</v>
      </c>
      <c r="H15" s="8">
        <v>1</v>
      </c>
      <c r="I15" s="2">
        <v>0.5</v>
      </c>
      <c r="M15" s="19">
        <v>3</v>
      </c>
      <c r="N15" s="17" t="s">
        <v>2</v>
      </c>
      <c r="O15" s="17">
        <v>17</v>
      </c>
      <c r="P15" s="20">
        <v>0.50694444444444442</v>
      </c>
      <c r="Q15" s="28">
        <v>1</v>
      </c>
      <c r="R15" s="17" t="s">
        <v>2</v>
      </c>
      <c r="S15" s="17">
        <v>15</v>
      </c>
      <c r="T15" s="18">
        <v>0.69791666666666663</v>
      </c>
      <c r="U15" s="37">
        <f t="shared" si="0"/>
        <v>275</v>
      </c>
    </row>
    <row r="16" spans="1:26">
      <c r="D16" s="2">
        <f>MAX(I20:I22)</f>
        <v>0.71875</v>
      </c>
      <c r="E16" s="51">
        <v>4</v>
      </c>
      <c r="F16" s="10" t="s">
        <v>10</v>
      </c>
      <c r="G16" s="8">
        <v>15</v>
      </c>
      <c r="H16" s="8">
        <v>1</v>
      </c>
      <c r="I16" s="2">
        <v>0.69791666666666663</v>
      </c>
      <c r="M16" s="19">
        <v>1</v>
      </c>
      <c r="N16" s="17" t="s">
        <v>2</v>
      </c>
      <c r="O16" s="17">
        <v>15</v>
      </c>
      <c r="P16" s="20">
        <v>0.69791666666666663</v>
      </c>
      <c r="Q16" s="28">
        <v>3</v>
      </c>
      <c r="R16" s="17" t="s">
        <v>2</v>
      </c>
      <c r="S16" s="17">
        <v>18</v>
      </c>
      <c r="T16" s="18">
        <v>0.71527777777777779</v>
      </c>
      <c r="U16" s="37">
        <f t="shared" si="0"/>
        <v>25.000000000000071</v>
      </c>
    </row>
    <row r="17" spans="1:21">
      <c r="A17" s="4"/>
      <c r="D17" s="2">
        <f>MIN(I14:I19)</f>
        <v>0.36458333333333331</v>
      </c>
      <c r="E17" s="51">
        <v>3</v>
      </c>
      <c r="F17" s="13" t="s">
        <v>22</v>
      </c>
      <c r="G17" s="12">
        <v>16</v>
      </c>
      <c r="H17" s="12">
        <v>3</v>
      </c>
      <c r="I17" s="2">
        <v>0.38194444444444442</v>
      </c>
      <c r="M17" s="19">
        <v>2</v>
      </c>
      <c r="N17" s="17" t="s">
        <v>3</v>
      </c>
      <c r="O17" s="17">
        <v>19</v>
      </c>
      <c r="P17" s="20">
        <v>0.38541666666666669</v>
      </c>
      <c r="Q17" s="28">
        <v>2</v>
      </c>
      <c r="R17" s="17" t="s">
        <v>3</v>
      </c>
      <c r="S17" s="17">
        <v>20</v>
      </c>
      <c r="T17" s="18">
        <v>0.51041666666666663</v>
      </c>
      <c r="U17" s="37">
        <f t="shared" si="0"/>
        <v>179.99999999999991</v>
      </c>
    </row>
    <row r="18" spans="1:21">
      <c r="A18" s="4"/>
      <c r="B18" s="5"/>
      <c r="D18" s="2">
        <f>MAX(I14:I19)</f>
        <v>0.71527777777777779</v>
      </c>
      <c r="E18" s="51">
        <v>3</v>
      </c>
      <c r="F18" s="13" t="s">
        <v>23</v>
      </c>
      <c r="G18" s="12">
        <v>17</v>
      </c>
      <c r="H18" s="12">
        <v>3</v>
      </c>
      <c r="I18" s="2">
        <v>0.50694444444444442</v>
      </c>
      <c r="M18" s="19">
        <v>2</v>
      </c>
      <c r="N18" s="17" t="s">
        <v>3</v>
      </c>
      <c r="O18" s="17">
        <v>20</v>
      </c>
      <c r="P18" s="20">
        <v>0.51041666666666663</v>
      </c>
      <c r="Q18" s="28">
        <v>2</v>
      </c>
      <c r="R18" s="17" t="s">
        <v>3</v>
      </c>
      <c r="S18" s="17">
        <v>21</v>
      </c>
      <c r="T18" s="18">
        <v>0.71875</v>
      </c>
      <c r="U18" s="37">
        <f t="shared" si="0"/>
        <v>300.00000000000006</v>
      </c>
    </row>
    <row r="19" spans="1:21">
      <c r="A19" s="4"/>
      <c r="B19" s="5"/>
      <c r="D19" s="2">
        <f>MIN(I11:I13)</f>
        <v>0.41666666666666669</v>
      </c>
      <c r="E19" s="51">
        <v>2</v>
      </c>
      <c r="F19" s="13" t="s">
        <v>24</v>
      </c>
      <c r="G19" s="12">
        <v>18</v>
      </c>
      <c r="H19" s="12">
        <v>3</v>
      </c>
      <c r="I19" s="2">
        <v>0.71527777777777779</v>
      </c>
      <c r="M19" s="19">
        <v>2</v>
      </c>
      <c r="N19" s="17" t="s">
        <v>4</v>
      </c>
      <c r="O19" s="17">
        <v>25</v>
      </c>
      <c r="P19" s="20">
        <v>0.35416666666666669</v>
      </c>
      <c r="Q19" s="28">
        <v>1</v>
      </c>
      <c r="R19" s="17" t="s">
        <v>4</v>
      </c>
      <c r="S19" s="17">
        <v>22</v>
      </c>
      <c r="T19" s="18">
        <v>0.41666666666666669</v>
      </c>
      <c r="U19" s="37">
        <f t="shared" si="0"/>
        <v>90</v>
      </c>
    </row>
    <row r="20" spans="1:21">
      <c r="A20" s="4"/>
      <c r="D20" s="2">
        <f>MAX(I11:I13)</f>
        <v>0.75</v>
      </c>
      <c r="E20" s="51">
        <v>2</v>
      </c>
      <c r="F20" s="14" t="s">
        <v>16</v>
      </c>
      <c r="G20" s="15">
        <v>19</v>
      </c>
      <c r="H20" s="15">
        <v>2</v>
      </c>
      <c r="I20" s="2">
        <v>0.38541666666666669</v>
      </c>
      <c r="M20" s="19">
        <v>1</v>
      </c>
      <c r="N20" s="17" t="s">
        <v>4</v>
      </c>
      <c r="O20" s="17">
        <v>22</v>
      </c>
      <c r="P20" s="20">
        <v>0.41666666666666669</v>
      </c>
      <c r="Q20" s="28">
        <v>2</v>
      </c>
      <c r="R20" s="17" t="s">
        <v>4</v>
      </c>
      <c r="S20" s="17">
        <v>26</v>
      </c>
      <c r="T20" s="18">
        <v>0.47916666666666669</v>
      </c>
      <c r="U20" s="37">
        <f t="shared" si="0"/>
        <v>90</v>
      </c>
    </row>
    <row r="21" spans="1:21">
      <c r="A21" s="4"/>
      <c r="B21" s="4"/>
      <c r="D21" s="2">
        <f>MIN(I2:I7)</f>
        <v>0.33333333333333331</v>
      </c>
      <c r="E21" s="51">
        <v>1</v>
      </c>
      <c r="F21" s="14" t="s">
        <v>17</v>
      </c>
      <c r="G21" s="15">
        <v>20</v>
      </c>
      <c r="H21" s="15">
        <v>2</v>
      </c>
      <c r="I21" s="2">
        <v>0.51041666666666663</v>
      </c>
      <c r="M21" s="19">
        <v>2</v>
      </c>
      <c r="N21" s="17" t="s">
        <v>4</v>
      </c>
      <c r="O21" s="17">
        <v>26</v>
      </c>
      <c r="P21" s="20">
        <v>0.47916666666666669</v>
      </c>
      <c r="Q21" s="28">
        <v>1</v>
      </c>
      <c r="R21" s="17" t="s">
        <v>4</v>
      </c>
      <c r="S21" s="17">
        <v>23</v>
      </c>
      <c r="T21" s="18">
        <v>0.55208333333333337</v>
      </c>
      <c r="U21" s="37">
        <f t="shared" si="0"/>
        <v>105.00000000000003</v>
      </c>
    </row>
    <row r="22" spans="1:21">
      <c r="A22" s="4"/>
      <c r="B22" s="4"/>
      <c r="D22" s="2">
        <f>MAX(I2:I7)</f>
        <v>0.79166666666666663</v>
      </c>
      <c r="E22" s="39">
        <v>1</v>
      </c>
      <c r="F22" s="14" t="s">
        <v>18</v>
      </c>
      <c r="G22" s="15">
        <v>21</v>
      </c>
      <c r="H22" s="15">
        <v>2</v>
      </c>
      <c r="I22" s="2">
        <v>0.71875</v>
      </c>
      <c r="M22" s="19">
        <v>1</v>
      </c>
      <c r="N22" s="17" t="s">
        <v>4</v>
      </c>
      <c r="O22" s="17">
        <v>23</v>
      </c>
      <c r="P22" s="20">
        <v>0.55208333333333337</v>
      </c>
      <c r="Q22" s="28">
        <v>2</v>
      </c>
      <c r="R22" s="17" t="s">
        <v>4</v>
      </c>
      <c r="S22" s="17">
        <v>27</v>
      </c>
      <c r="T22" s="18">
        <v>0.6875</v>
      </c>
      <c r="U22" s="37">
        <f t="shared" si="0"/>
        <v>194.99999999999994</v>
      </c>
    </row>
    <row r="23" spans="1:21">
      <c r="F23" s="10" t="s">
        <v>31</v>
      </c>
      <c r="G23" s="8">
        <v>22</v>
      </c>
      <c r="H23" s="8">
        <v>1</v>
      </c>
      <c r="I23" s="2">
        <v>0.41666666666666669</v>
      </c>
      <c r="M23" s="21">
        <v>2</v>
      </c>
      <c r="N23" s="22" t="s">
        <v>4</v>
      </c>
      <c r="O23" s="22">
        <v>27</v>
      </c>
      <c r="P23" s="23">
        <v>0.6875</v>
      </c>
      <c r="Q23" s="29">
        <v>1</v>
      </c>
      <c r="R23" s="22" t="s">
        <v>4</v>
      </c>
      <c r="S23" s="22">
        <v>24</v>
      </c>
      <c r="T23" s="35">
        <v>0.75</v>
      </c>
      <c r="U23" s="38">
        <f t="shared" si="0"/>
        <v>90</v>
      </c>
    </row>
    <row r="24" spans="1:21">
      <c r="F24" s="10" t="s">
        <v>32</v>
      </c>
      <c r="G24" s="8">
        <v>23</v>
      </c>
      <c r="H24" s="8">
        <v>1</v>
      </c>
      <c r="I24" s="2">
        <v>0.55208333333333337</v>
      </c>
      <c r="M24" s="19">
        <v>1</v>
      </c>
      <c r="N24" s="17" t="s">
        <v>0</v>
      </c>
      <c r="O24" s="17">
        <v>1</v>
      </c>
      <c r="P24" s="20">
        <v>0.33333333333333331</v>
      </c>
      <c r="Q24" s="27">
        <v>1</v>
      </c>
      <c r="R24" s="25" t="s">
        <v>2</v>
      </c>
      <c r="S24" s="25">
        <v>13</v>
      </c>
      <c r="T24" s="34">
        <v>0.36458333333333331</v>
      </c>
      <c r="U24" s="37">
        <f t="shared" si="0"/>
        <v>45</v>
      </c>
    </row>
    <row r="25" spans="1:21">
      <c r="F25" s="10" t="s">
        <v>33</v>
      </c>
      <c r="G25" s="8">
        <v>24</v>
      </c>
      <c r="H25" s="8">
        <v>1</v>
      </c>
      <c r="I25" s="2">
        <v>0.75</v>
      </c>
      <c r="M25" s="19">
        <v>1</v>
      </c>
      <c r="N25" s="17" t="s">
        <v>2</v>
      </c>
      <c r="O25" s="17">
        <v>13</v>
      </c>
      <c r="P25" s="20">
        <v>0.36458333333333331</v>
      </c>
      <c r="Q25" s="28">
        <v>1</v>
      </c>
      <c r="R25" s="17" t="s">
        <v>4</v>
      </c>
      <c r="S25" s="17">
        <v>22</v>
      </c>
      <c r="T25" s="18">
        <v>0.41666666666666669</v>
      </c>
      <c r="U25" s="37">
        <f t="shared" si="0"/>
        <v>75.000000000000057</v>
      </c>
    </row>
    <row r="26" spans="1:21">
      <c r="F26" s="14" t="s">
        <v>13</v>
      </c>
      <c r="G26" s="15">
        <v>25</v>
      </c>
      <c r="H26" s="15">
        <v>2</v>
      </c>
      <c r="I26" s="2">
        <v>0.35416666666666669</v>
      </c>
      <c r="M26" s="19">
        <v>3</v>
      </c>
      <c r="N26" s="17" t="s">
        <v>0</v>
      </c>
      <c r="O26" s="17">
        <v>2</v>
      </c>
      <c r="P26" s="20">
        <v>0.46875</v>
      </c>
      <c r="Q26" s="28">
        <v>3</v>
      </c>
      <c r="R26" s="17" t="s">
        <v>2</v>
      </c>
      <c r="S26" s="17">
        <v>14</v>
      </c>
      <c r="T26" s="18">
        <v>0.5</v>
      </c>
      <c r="U26" s="37">
        <f t="shared" si="0"/>
        <v>45</v>
      </c>
    </row>
    <row r="27" spans="1:21">
      <c r="F27" s="14" t="s">
        <v>14</v>
      </c>
      <c r="G27" s="15">
        <v>26</v>
      </c>
      <c r="H27" s="15">
        <v>2</v>
      </c>
      <c r="I27" s="2">
        <v>0.47916666666666669</v>
      </c>
      <c r="M27" s="19">
        <v>3</v>
      </c>
      <c r="N27" s="17" t="s">
        <v>2</v>
      </c>
      <c r="O27" s="17">
        <v>14</v>
      </c>
      <c r="P27" s="20">
        <v>0.5</v>
      </c>
      <c r="Q27" s="28">
        <v>3</v>
      </c>
      <c r="R27" s="17" t="s">
        <v>4</v>
      </c>
      <c r="S27" s="17">
        <v>23</v>
      </c>
      <c r="T27" s="18">
        <v>0.55208333333333337</v>
      </c>
      <c r="U27" s="37">
        <f t="shared" si="0"/>
        <v>75.000000000000057</v>
      </c>
    </row>
    <row r="28" spans="1:21">
      <c r="A28" s="4"/>
      <c r="F28" s="14" t="s">
        <v>15</v>
      </c>
      <c r="G28" s="15">
        <v>27</v>
      </c>
      <c r="H28" s="15">
        <v>2</v>
      </c>
      <c r="I28" s="2">
        <v>0.6875</v>
      </c>
      <c r="M28" s="19">
        <v>3</v>
      </c>
      <c r="N28" s="17" t="s">
        <v>0</v>
      </c>
      <c r="O28" s="17">
        <v>3</v>
      </c>
      <c r="P28" s="20">
        <v>0.66666666666666663</v>
      </c>
      <c r="Q28" s="28">
        <v>3</v>
      </c>
      <c r="R28" s="17" t="s">
        <v>2</v>
      </c>
      <c r="S28" s="17">
        <v>15</v>
      </c>
      <c r="T28" s="18">
        <v>0.69791666666666663</v>
      </c>
      <c r="U28" s="37">
        <f t="shared" si="0"/>
        <v>45</v>
      </c>
    </row>
    <row r="29" spans="1:21">
      <c r="A29" s="4"/>
      <c r="F29" s="5"/>
      <c r="G29" s="16"/>
      <c r="I29" s="2"/>
      <c r="M29" s="19">
        <v>3</v>
      </c>
      <c r="N29" s="17" t="s">
        <v>2</v>
      </c>
      <c r="O29" s="17">
        <v>15</v>
      </c>
      <c r="P29" s="20">
        <v>0.69791666666666663</v>
      </c>
      <c r="Q29" s="28">
        <v>3</v>
      </c>
      <c r="R29" s="17" t="s">
        <v>4</v>
      </c>
      <c r="S29" s="17">
        <v>24</v>
      </c>
      <c r="T29" s="18">
        <v>0.75</v>
      </c>
      <c r="U29" s="37">
        <f t="shared" si="0"/>
        <v>75.000000000000057</v>
      </c>
    </row>
    <row r="30" spans="1:21">
      <c r="A30" s="4"/>
      <c r="B30" s="5"/>
      <c r="C30" s="16"/>
      <c r="D30" s="5"/>
      <c r="E30" s="40"/>
      <c r="F30" s="5"/>
      <c r="G30" s="16"/>
      <c r="I30" s="2"/>
      <c r="M30" s="19">
        <v>3</v>
      </c>
      <c r="N30" s="17" t="s">
        <v>4</v>
      </c>
      <c r="O30" s="17">
        <v>25</v>
      </c>
      <c r="P30" s="20">
        <v>0.35416666666666669</v>
      </c>
      <c r="Q30" s="28">
        <v>3</v>
      </c>
      <c r="R30" s="17" t="s">
        <v>3</v>
      </c>
      <c r="S30" s="17">
        <v>19</v>
      </c>
      <c r="T30" s="18">
        <v>0.38541666666666669</v>
      </c>
      <c r="U30" s="37">
        <f t="shared" si="0"/>
        <v>45</v>
      </c>
    </row>
    <row r="31" spans="1:21">
      <c r="A31" s="4"/>
      <c r="M31" s="19">
        <v>3</v>
      </c>
      <c r="N31" s="17" t="s">
        <v>3</v>
      </c>
      <c r="O31" s="17">
        <v>19</v>
      </c>
      <c r="P31" s="20">
        <v>0.38541666666666669</v>
      </c>
      <c r="Q31" s="28">
        <v>3</v>
      </c>
      <c r="R31" s="17" t="s">
        <v>1</v>
      </c>
      <c r="S31" s="17">
        <v>10</v>
      </c>
      <c r="T31" s="18">
        <v>0.4375</v>
      </c>
      <c r="U31" s="37">
        <f t="shared" si="0"/>
        <v>74.999999999999972</v>
      </c>
    </row>
    <row r="32" spans="1:21">
      <c r="A32" s="1"/>
      <c r="B32" s="4"/>
      <c r="C32"/>
      <c r="D32" s="4"/>
      <c r="F32" s="4"/>
      <c r="G32"/>
      <c r="M32" s="19">
        <v>3</v>
      </c>
      <c r="N32" s="17" t="s">
        <v>4</v>
      </c>
      <c r="O32" s="17">
        <v>26</v>
      </c>
      <c r="P32" s="20">
        <v>0.47916666666666669</v>
      </c>
      <c r="Q32" s="28">
        <v>3</v>
      </c>
      <c r="R32" s="17" t="s">
        <v>3</v>
      </c>
      <c r="S32" s="17">
        <v>20</v>
      </c>
      <c r="T32" s="18">
        <v>0.51041666666666663</v>
      </c>
      <c r="U32" s="37">
        <f t="shared" si="0"/>
        <v>44.999999999999922</v>
      </c>
    </row>
    <row r="33" spans="1:21">
      <c r="A33" s="6"/>
      <c r="M33" s="19">
        <v>3</v>
      </c>
      <c r="N33" s="17" t="s">
        <v>3</v>
      </c>
      <c r="O33" s="17">
        <v>20</v>
      </c>
      <c r="P33" s="20">
        <v>0.51041666666666663</v>
      </c>
      <c r="Q33" s="28">
        <v>3</v>
      </c>
      <c r="R33" s="17" t="s">
        <v>1</v>
      </c>
      <c r="S33" s="17">
        <v>11</v>
      </c>
      <c r="T33" s="18">
        <v>0.5625</v>
      </c>
      <c r="U33" s="37">
        <f t="shared" si="0"/>
        <v>75.000000000000057</v>
      </c>
    </row>
    <row r="34" spans="1:21">
      <c r="A34" s="6"/>
      <c r="B34" s="33"/>
      <c r="C34" s="6"/>
      <c r="D34" s="33"/>
      <c r="E34" s="41"/>
      <c r="F34" s="33"/>
      <c r="G34" s="6"/>
      <c r="H34" s="6"/>
      <c r="I34" s="7"/>
      <c r="M34" s="19">
        <v>3</v>
      </c>
      <c r="N34" s="17" t="s">
        <v>4</v>
      </c>
      <c r="O34" s="17">
        <v>27</v>
      </c>
      <c r="P34" s="20">
        <v>0.6875</v>
      </c>
      <c r="Q34" s="28">
        <v>3</v>
      </c>
      <c r="R34" s="17" t="s">
        <v>3</v>
      </c>
      <c r="S34" s="17">
        <v>21</v>
      </c>
      <c r="T34" s="18">
        <v>0.71875</v>
      </c>
      <c r="U34" s="37">
        <f t="shared" si="0"/>
        <v>45</v>
      </c>
    </row>
    <row r="35" spans="1:21">
      <c r="A35" s="6"/>
      <c r="B35" s="33"/>
      <c r="C35" s="6"/>
      <c r="D35" s="33"/>
      <c r="E35" s="41"/>
      <c r="F35" s="33"/>
      <c r="G35" s="6"/>
      <c r="H35" s="6"/>
      <c r="I35" s="7"/>
      <c r="M35" s="19">
        <v>3</v>
      </c>
      <c r="N35" s="17" t="s">
        <v>3</v>
      </c>
      <c r="O35" s="17">
        <v>21</v>
      </c>
      <c r="P35" s="20">
        <v>0.71875</v>
      </c>
      <c r="Q35" s="28">
        <v>3</v>
      </c>
      <c r="R35" s="17" t="s">
        <v>1</v>
      </c>
      <c r="S35" s="17">
        <v>12</v>
      </c>
      <c r="T35" s="18">
        <v>0.77083333333333337</v>
      </c>
      <c r="U35" s="37">
        <f t="shared" si="0"/>
        <v>75.000000000000057</v>
      </c>
    </row>
    <row r="36" spans="1:21">
      <c r="A36" s="6"/>
      <c r="B36" s="33"/>
      <c r="C36" s="6"/>
      <c r="D36" s="33"/>
      <c r="E36" s="41"/>
      <c r="F36" s="33"/>
      <c r="G36" s="6"/>
      <c r="H36" s="6"/>
      <c r="I36" s="7"/>
      <c r="M36" s="19">
        <v>3</v>
      </c>
      <c r="N36" s="17" t="s">
        <v>2</v>
      </c>
      <c r="O36" s="17">
        <v>16</v>
      </c>
      <c r="P36" s="20">
        <v>0.38194444444444442</v>
      </c>
      <c r="Q36" s="28">
        <v>3</v>
      </c>
      <c r="R36" s="17" t="s">
        <v>1</v>
      </c>
      <c r="S36" s="17">
        <v>7</v>
      </c>
      <c r="T36" s="18">
        <v>0.41666666666666669</v>
      </c>
      <c r="U36" s="37">
        <f t="shared" si="0"/>
        <v>50.000000000000064</v>
      </c>
    </row>
    <row r="37" spans="1:21">
      <c r="A37" s="6"/>
      <c r="B37" s="33"/>
      <c r="C37" s="6"/>
      <c r="D37" s="33"/>
      <c r="E37" s="41"/>
      <c r="F37" s="33"/>
      <c r="G37" s="6"/>
      <c r="H37" s="6"/>
      <c r="I37" s="7"/>
      <c r="M37" s="19">
        <v>3</v>
      </c>
      <c r="N37" s="17" t="s">
        <v>1</v>
      </c>
      <c r="O37" s="17">
        <v>7</v>
      </c>
      <c r="P37" s="20">
        <v>0.41666666666666669</v>
      </c>
      <c r="Q37" s="28">
        <v>3</v>
      </c>
      <c r="R37" s="17" t="s">
        <v>0</v>
      </c>
      <c r="S37" s="17">
        <v>4</v>
      </c>
      <c r="T37" s="18">
        <v>0.45833333333333331</v>
      </c>
      <c r="U37" s="37">
        <f t="shared" si="0"/>
        <v>59.999999999999943</v>
      </c>
    </row>
    <row r="38" spans="1:21">
      <c r="A38" s="6"/>
      <c r="B38" s="33"/>
      <c r="C38" s="6"/>
      <c r="D38" s="33"/>
      <c r="E38" s="41"/>
      <c r="F38" s="33"/>
      <c r="G38" s="6"/>
      <c r="H38" s="6"/>
      <c r="I38" s="7"/>
      <c r="M38" s="19">
        <v>3</v>
      </c>
      <c r="N38" s="17" t="s">
        <v>2</v>
      </c>
      <c r="O38" s="17">
        <v>17</v>
      </c>
      <c r="P38" s="20">
        <v>0.50694444444444442</v>
      </c>
      <c r="Q38" s="28">
        <v>3</v>
      </c>
      <c r="R38" s="17" t="s">
        <v>1</v>
      </c>
      <c r="S38" s="17">
        <v>8</v>
      </c>
      <c r="T38" s="18">
        <v>0.54166666666666663</v>
      </c>
      <c r="U38" s="37">
        <f t="shared" si="0"/>
        <v>49.999999999999986</v>
      </c>
    </row>
    <row r="39" spans="1:21">
      <c r="A39" s="6"/>
      <c r="B39" s="33"/>
      <c r="C39" s="6"/>
      <c r="D39" s="33"/>
      <c r="E39" s="41"/>
      <c r="F39" s="33"/>
      <c r="G39" s="6"/>
      <c r="H39" s="6"/>
      <c r="I39" s="7"/>
      <c r="M39" s="19">
        <v>3</v>
      </c>
      <c r="N39" s="17" t="s">
        <v>1</v>
      </c>
      <c r="O39" s="17">
        <v>8</v>
      </c>
      <c r="P39" s="20">
        <v>0.54166666666666663</v>
      </c>
      <c r="Q39" s="28">
        <v>3</v>
      </c>
      <c r="R39" s="17" t="s">
        <v>0</v>
      </c>
      <c r="S39" s="17">
        <v>5</v>
      </c>
      <c r="T39" s="18">
        <v>0.58333333333333337</v>
      </c>
      <c r="U39" s="37">
        <f t="shared" si="0"/>
        <v>60.000000000000107</v>
      </c>
    </row>
    <row r="40" spans="1:21">
      <c r="A40" s="6"/>
      <c r="B40" s="33"/>
      <c r="C40" s="6"/>
      <c r="D40" s="33"/>
      <c r="E40" s="41"/>
      <c r="F40" s="33"/>
      <c r="G40" s="6"/>
      <c r="H40" s="6"/>
      <c r="I40" s="7"/>
      <c r="M40" s="19">
        <v>3</v>
      </c>
      <c r="N40" s="17" t="s">
        <v>2</v>
      </c>
      <c r="O40" s="17">
        <v>18</v>
      </c>
      <c r="P40" s="20">
        <v>0.67361111111111116</v>
      </c>
      <c r="Q40" s="28">
        <v>3</v>
      </c>
      <c r="R40" s="17" t="s">
        <v>1</v>
      </c>
      <c r="S40" s="17">
        <v>9</v>
      </c>
      <c r="T40" s="18">
        <v>0.75</v>
      </c>
      <c r="U40" s="37">
        <f t="shared" si="0"/>
        <v>109.99999999999993</v>
      </c>
    </row>
    <row r="41" spans="1:21">
      <c r="A41" s="6"/>
      <c r="B41" s="33"/>
      <c r="C41" s="6"/>
      <c r="D41" s="33"/>
      <c r="E41" s="41"/>
      <c r="F41" s="33"/>
      <c r="G41" s="6"/>
      <c r="H41" s="6"/>
      <c r="I41" s="7"/>
      <c r="M41" s="21">
        <v>3</v>
      </c>
      <c r="N41" s="22" t="s">
        <v>1</v>
      </c>
      <c r="O41" s="22">
        <v>9</v>
      </c>
      <c r="P41" s="23">
        <v>0.75</v>
      </c>
      <c r="Q41" s="29">
        <v>3</v>
      </c>
      <c r="R41" s="22" t="s">
        <v>0</v>
      </c>
      <c r="S41" s="22">
        <v>6</v>
      </c>
      <c r="T41" s="35">
        <v>0.79166666666666663</v>
      </c>
      <c r="U41" s="38">
        <f t="shared" si="0"/>
        <v>59.999999999999943</v>
      </c>
    </row>
    <row r="42" spans="1:21">
      <c r="A42" s="1"/>
      <c r="B42" s="33"/>
      <c r="C42" s="6"/>
      <c r="D42" s="33"/>
      <c r="E42" s="41"/>
      <c r="F42" s="33"/>
      <c r="G42" s="6"/>
      <c r="H42" s="6"/>
      <c r="I42" s="7"/>
    </row>
    <row r="43" spans="1:21">
      <c r="A43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raph.Graph">
                <anchor moveWithCells="1" sizeWithCells="1">
                  <from>
                    <xdr:col>0</xdr:col>
                    <xdr:colOff>381000</xdr:colOff>
                    <xdr:row>23</xdr:row>
                    <xdr:rowOff>76200</xdr:rowOff>
                  </from>
                  <to>
                    <xdr:col>2</xdr:col>
                    <xdr:colOff>76200</xdr:colOff>
                    <xdr:row>25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</vt:lpstr>
      <vt:lpstr>Connection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2019-11-19T14:20:22Z</dcterms:created>
  <dcterms:modified xsi:type="dcterms:W3CDTF">2019-12-09T14:13:36Z</dcterms:modified>
</cp:coreProperties>
</file>